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niversidad\2026\Recuperacion de la Informacion\RI-JosueGaticaOdato\TP5\EJ4\"/>
    </mc:Choice>
  </mc:AlternateContent>
  <xr:revisionPtr revIDLastSave="0" documentId="13_ncr:1_{9F360977-6D91-4EA5-8C7A-EB8491AA1850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6" i="1" l="1"/>
  <c r="H45" i="1"/>
  <c r="D46" i="1"/>
  <c r="D74" i="1"/>
  <c r="D73" i="1"/>
  <c r="D72" i="1"/>
  <c r="D71" i="1"/>
  <c r="D70" i="1"/>
  <c r="D69" i="1"/>
  <c r="H74" i="1"/>
  <c r="H73" i="1"/>
  <c r="H72" i="1"/>
  <c r="H71" i="1"/>
  <c r="H70" i="1"/>
  <c r="H69" i="1"/>
  <c r="D62" i="1"/>
  <c r="D61" i="1"/>
  <c r="D60" i="1"/>
  <c r="D59" i="1"/>
  <c r="D58" i="1"/>
  <c r="D57" i="1"/>
  <c r="H62" i="1"/>
  <c r="H57" i="1"/>
  <c r="H61" i="1"/>
  <c r="H60" i="1"/>
  <c r="H59" i="1"/>
  <c r="H58" i="1"/>
  <c r="H50" i="1"/>
  <c r="D45" i="1"/>
  <c r="H47" i="1"/>
  <c r="H49" i="1"/>
  <c r="H48" i="1"/>
  <c r="D50" i="1"/>
  <c r="D49" i="1"/>
  <c r="D48" i="1"/>
  <c r="D47" i="1"/>
  <c r="F35" i="1"/>
  <c r="H29" i="1"/>
  <c r="H30" i="1"/>
  <c r="G29" i="1"/>
  <c r="G30" i="1"/>
  <c r="G31" i="1"/>
  <c r="G32" i="1"/>
  <c r="G33" i="1"/>
  <c r="G34" i="1"/>
  <c r="G35" i="1"/>
  <c r="G36" i="1"/>
  <c r="G37" i="1"/>
  <c r="F29" i="1"/>
  <c r="F30" i="1"/>
  <c r="E29" i="1"/>
  <c r="E30" i="1"/>
  <c r="F31" i="1" s="1"/>
  <c r="D29" i="1"/>
  <c r="D30" i="1"/>
  <c r="C29" i="1"/>
  <c r="C30" i="1"/>
  <c r="D31" i="1" s="1"/>
  <c r="H28" i="1"/>
  <c r="G28" i="1"/>
  <c r="F28" i="1"/>
  <c r="E28" i="1"/>
  <c r="D28" i="1"/>
  <c r="C28" i="1"/>
  <c r="D27" i="1"/>
  <c r="E27" i="1"/>
  <c r="F27" i="1"/>
  <c r="G27" i="1"/>
  <c r="H27" i="1"/>
  <c r="C27" i="1"/>
  <c r="C23" i="1"/>
  <c r="G17" i="1"/>
  <c r="G18" i="1"/>
  <c r="C4" i="1"/>
  <c r="C9" i="1" s="1"/>
  <c r="H10" i="1" s="1"/>
  <c r="D8" i="1"/>
  <c r="E8" i="1"/>
  <c r="F8" i="1"/>
  <c r="G8" i="1"/>
  <c r="H8" i="1"/>
  <c r="C8" i="1"/>
  <c r="H31" i="1" l="1"/>
  <c r="G11" i="1"/>
  <c r="G14" i="1"/>
  <c r="G12" i="1"/>
  <c r="G10" i="1"/>
  <c r="G16" i="1"/>
  <c r="G13" i="1"/>
  <c r="G15" i="1"/>
  <c r="D10" i="1"/>
  <c r="F9" i="1"/>
  <c r="D9" i="1"/>
  <c r="G9" i="1"/>
  <c r="H9" i="1"/>
  <c r="E9" i="1"/>
  <c r="C31" i="1" l="1"/>
  <c r="E31" i="1"/>
  <c r="F32" i="1" s="1"/>
  <c r="F10" i="1"/>
  <c r="E11" i="1" s="1"/>
  <c r="E10" i="1"/>
  <c r="F11" i="1"/>
  <c r="C10" i="1"/>
  <c r="C11" i="1"/>
  <c r="D32" i="1" l="1"/>
  <c r="H32" i="1"/>
  <c r="C32" i="1"/>
  <c r="E32" i="1"/>
  <c r="F33" i="1" s="1"/>
  <c r="D12" i="1"/>
  <c r="H12" i="1"/>
  <c r="D11" i="1"/>
  <c r="E12" i="1" s="1"/>
  <c r="H11" i="1"/>
  <c r="C12" i="1" s="1"/>
  <c r="D33" i="1" l="1"/>
  <c r="H33" i="1"/>
  <c r="C33" i="1"/>
  <c r="E33" i="1"/>
  <c r="F34" i="1" s="1"/>
  <c r="D13" i="1"/>
  <c r="C14" i="1" s="1"/>
  <c r="H13" i="1"/>
  <c r="F13" i="1"/>
  <c r="E14" i="1" s="1"/>
  <c r="C13" i="1"/>
  <c r="F12" i="1"/>
  <c r="E13" i="1" s="1"/>
  <c r="F14" i="1" s="1"/>
  <c r="D34" i="1" l="1"/>
  <c r="H34" i="1"/>
  <c r="E34" i="1"/>
  <c r="D14" i="1"/>
  <c r="H14" i="1"/>
  <c r="D15" i="1"/>
  <c r="H15" i="1"/>
  <c r="C34" i="1" l="1"/>
  <c r="C35" i="1"/>
  <c r="E35" i="1"/>
  <c r="C16" i="1"/>
  <c r="C15" i="1"/>
  <c r="E15" i="1"/>
  <c r="F16" i="1" s="1"/>
  <c r="F15" i="1"/>
  <c r="E16" i="1" s="1"/>
  <c r="D36" i="1" l="1"/>
  <c r="H36" i="1"/>
  <c r="D35" i="1"/>
  <c r="H35" i="1"/>
  <c r="F36" i="1"/>
  <c r="C36" i="1"/>
  <c r="E36" i="1"/>
  <c r="F37" i="1" s="1"/>
  <c r="D16" i="1"/>
  <c r="H16" i="1"/>
  <c r="D17" i="1"/>
  <c r="C18" i="1" s="1"/>
  <c r="H17" i="1"/>
  <c r="D37" i="1" l="1"/>
  <c r="H37" i="1"/>
  <c r="C37" i="1"/>
  <c r="E37" i="1"/>
  <c r="C17" i="1"/>
  <c r="E17" i="1"/>
  <c r="F18" i="1" s="1"/>
  <c r="F17" i="1"/>
  <c r="E18" i="1" s="1"/>
  <c r="D18" i="1" l="1"/>
  <c r="H18" i="1"/>
</calcChain>
</file>

<file path=xl/sharedStrings.xml><?xml version="1.0" encoding="utf-8"?>
<sst xmlns="http://schemas.openxmlformats.org/spreadsheetml/2006/main" count="130" uniqueCount="33">
  <si>
    <t>Step</t>
  </si>
  <si>
    <t>A</t>
  </si>
  <si>
    <t>B</t>
  </si>
  <si>
    <t>C</t>
  </si>
  <si>
    <t>D</t>
  </si>
  <si>
    <t>E</t>
  </si>
  <si>
    <t>F</t>
  </si>
  <si>
    <t>N</t>
  </si>
  <si>
    <t>d</t>
  </si>
  <si>
    <t>Nodo</t>
  </si>
  <si>
    <t>Link</t>
  </si>
  <si>
    <t>C(i)</t>
  </si>
  <si>
    <t>Salientes</t>
  </si>
  <si>
    <t>Entrantes</t>
  </si>
  <si>
    <t>Link entrante</t>
  </si>
  <si>
    <t>B,E,F</t>
  </si>
  <si>
    <t>B,D</t>
  </si>
  <si>
    <t>B,C</t>
  </si>
  <si>
    <t>-</t>
  </si>
  <si>
    <t>(1-d)/n</t>
  </si>
  <si>
    <t>B,F</t>
  </si>
  <si>
    <t>A,C,D</t>
  </si>
  <si>
    <t>RE-RANKEO</t>
  </si>
  <si>
    <t>α * Score + (1-α) * PR</t>
  </si>
  <si>
    <t>d = 0,5</t>
  </si>
  <si>
    <t>d = 0,15</t>
  </si>
  <si>
    <t>Pos</t>
  </si>
  <si>
    <t>Doc</t>
  </si>
  <si>
    <t>Score</t>
  </si>
  <si>
    <t>α</t>
  </si>
  <si>
    <t>Calculo de Page-Rank con             d = 0,15</t>
  </si>
  <si>
    <t>Calculo de Page-Rank con             d = 0,50</t>
  </si>
  <si>
    <t>0,2/0,5/0,9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</si>
</sst>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3">
    <xf numFmtId="0" fontId="0" fillId="0" borderId="0" xfId="0"/>
    <xf numFmtId="0" fontId="3" fillId="0" borderId="2" xfId="0" applyFont="1" applyBorder="1" applyAlignment="1">
      <alignment horizontal="center"/>
    </xf>
    <xf numFmtId="0" fontId="1" fillId="2" borderId="2" xfId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2" xfId="0" applyFont="1" applyBorder="1"/>
    <xf numFmtId="0" fontId="0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3" borderId="1" xfId="2" applyAlignment="1">
      <alignment horizontal="center"/>
    </xf>
    <xf numFmtId="0" fontId="4" fillId="0" borderId="8" xfId="0" applyFont="1" applyBorder="1" applyAlignment="1">
      <alignment textRotation="255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</cellXfs>
  <cellStyles count="3">
    <cellStyle name="Bueno" xfId="1" builtinId="26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14967</xdr:colOff>
      <xdr:row>1</xdr:row>
      <xdr:rowOff>8164</xdr:rowOff>
    </xdr:from>
    <xdr:to>
      <xdr:col>19</xdr:col>
      <xdr:colOff>132430</xdr:colOff>
      <xdr:row>14</xdr:row>
      <xdr:rowOff>8510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B7F66-BF5A-4DBF-8402-AC9B155E4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7467" y="198664"/>
          <a:ext cx="3179070" cy="2476846"/>
        </a:xfrm>
        <a:prstGeom prst="rect">
          <a:avLst/>
        </a:prstGeom>
      </xdr:spPr>
    </xdr:pic>
    <xdr:clientData/>
  </xdr:twoCellAnchor>
  <xdr:twoCellAnchor editAs="oneCell">
    <xdr:from>
      <xdr:col>13</xdr:col>
      <xdr:colOff>570459</xdr:colOff>
      <xdr:row>15</xdr:row>
      <xdr:rowOff>62915</xdr:rowOff>
    </xdr:from>
    <xdr:to>
      <xdr:col>18</xdr:col>
      <xdr:colOff>58954</xdr:colOff>
      <xdr:row>29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FF3676-45C6-4C47-8E4C-2AFDD995A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495" y="2920415"/>
          <a:ext cx="2550102" cy="2604085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68037</xdr:colOff>
      <xdr:row>30</xdr:row>
      <xdr:rowOff>13608</xdr:rowOff>
    </xdr:from>
    <xdr:to>
      <xdr:col>17</xdr:col>
      <xdr:colOff>98637</xdr:colOff>
      <xdr:row>36</xdr:row>
      <xdr:rowOff>110688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038939-7893-46EC-B879-4554876FB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0108" y="5728608"/>
          <a:ext cx="4316850" cy="12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4"/>
  <sheetViews>
    <sheetView tabSelected="1" topLeftCell="G1" zoomScaleNormal="100" workbookViewId="0">
      <selection activeCell="L50" sqref="L50"/>
    </sheetView>
  </sheetViews>
  <sheetFormatPr baseColWidth="10" defaultColWidth="9.140625" defaultRowHeight="15" x14ac:dyDescent="0.25"/>
  <cols>
    <col min="3" max="3" width="10.7109375" bestFit="1" customWidth="1"/>
  </cols>
  <sheetData>
    <row r="2" spans="2:13" x14ac:dyDescent="0.25">
      <c r="B2" s="1" t="s">
        <v>7</v>
      </c>
      <c r="C2" s="5">
        <v>6</v>
      </c>
      <c r="E2" s="13" t="s">
        <v>31</v>
      </c>
      <c r="F2" s="13"/>
      <c r="G2" s="13"/>
      <c r="H2" s="13"/>
    </row>
    <row r="3" spans="2:13" x14ac:dyDescent="0.25">
      <c r="B3" s="1" t="s">
        <v>8</v>
      </c>
      <c r="C3" s="6">
        <v>0.5</v>
      </c>
      <c r="E3" s="13"/>
      <c r="F3" s="13"/>
      <c r="G3" s="13"/>
      <c r="H3" s="13"/>
    </row>
    <row r="4" spans="2:13" x14ac:dyDescent="0.25">
      <c r="B4" s="1" t="s">
        <v>19</v>
      </c>
      <c r="C4" s="6">
        <f>(1-$C$3)/$C$2</f>
        <v>8.3333333333333329E-2</v>
      </c>
      <c r="E4" s="13"/>
      <c r="F4" s="13"/>
      <c r="G4" s="13"/>
      <c r="H4" s="13"/>
      <c r="K4" s="28" t="s">
        <v>12</v>
      </c>
      <c r="L4" s="29"/>
      <c r="M4" s="30"/>
    </row>
    <row r="5" spans="2:13" x14ac:dyDescent="0.25">
      <c r="K5" s="1" t="s">
        <v>9</v>
      </c>
      <c r="L5" s="1" t="s">
        <v>10</v>
      </c>
      <c r="M5" s="1" t="s">
        <v>11</v>
      </c>
    </row>
    <row r="6" spans="2:13" x14ac:dyDescent="0.25">
      <c r="K6" s="3" t="s">
        <v>1</v>
      </c>
      <c r="L6" s="3" t="s">
        <v>20</v>
      </c>
      <c r="M6" s="3">
        <v>2</v>
      </c>
    </row>
    <row r="7" spans="2:13" x14ac:dyDescent="0.25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K7" s="3" t="s">
        <v>2</v>
      </c>
      <c r="L7" s="3" t="s">
        <v>21</v>
      </c>
      <c r="M7" s="3">
        <v>3</v>
      </c>
    </row>
    <row r="8" spans="2:13" x14ac:dyDescent="0.25">
      <c r="B8" s="3">
        <v>0</v>
      </c>
      <c r="C8" s="3">
        <f>1/$C$2</f>
        <v>0.16666666666666666</v>
      </c>
      <c r="D8" s="3">
        <f t="shared" ref="D8:H8" si="0">1/$C$2</f>
        <v>0.16666666666666666</v>
      </c>
      <c r="E8" s="3">
        <f t="shared" si="0"/>
        <v>0.16666666666666666</v>
      </c>
      <c r="F8" s="3">
        <f t="shared" si="0"/>
        <v>0.16666666666666666</v>
      </c>
      <c r="G8" s="3">
        <f t="shared" si="0"/>
        <v>0.16666666666666666</v>
      </c>
      <c r="H8" s="3">
        <f t="shared" si="0"/>
        <v>0.16666666666666666</v>
      </c>
      <c r="K8" s="3" t="s">
        <v>3</v>
      </c>
      <c r="L8" s="3" t="s">
        <v>4</v>
      </c>
      <c r="M8" s="3">
        <v>1</v>
      </c>
    </row>
    <row r="9" spans="2:13" x14ac:dyDescent="0.25">
      <c r="B9" s="3">
        <v>1</v>
      </c>
      <c r="C9" s="3">
        <f xml:space="preserve"> $C$4 + $C$3 * SUM((D8/$M$7),(G8/$M$10),(H8/$M$11))</f>
        <v>0.27777777777777773</v>
      </c>
      <c r="D9" s="3">
        <f xml:space="preserve"> $C$4 + $C$3 * SUM((C8/$M$6))</f>
        <v>0.125</v>
      </c>
      <c r="E9" s="3">
        <f xml:space="preserve"> $C$4 + $C$3 * SUM((D8/$M$7),(F8/$M$9))</f>
        <v>0.19444444444444442</v>
      </c>
      <c r="F9" s="3">
        <f xml:space="preserve"> $C$4 + $C$3 * SUM((D8/$M$7),(E8/$M$8))</f>
        <v>0.19444444444444442</v>
      </c>
      <c r="G9" s="3">
        <f xml:space="preserve"> $C$4</f>
        <v>8.3333333333333329E-2</v>
      </c>
      <c r="H9" s="3">
        <f xml:space="preserve"> $C$4 + $C$3 * SUM((C8/$M$6))</f>
        <v>0.125</v>
      </c>
      <c r="K9" s="3" t="s">
        <v>4</v>
      </c>
      <c r="L9" s="3" t="s">
        <v>3</v>
      </c>
      <c r="M9" s="3">
        <v>1</v>
      </c>
    </row>
    <row r="10" spans="2:13" x14ac:dyDescent="0.25">
      <c r="B10" s="9">
        <v>2</v>
      </c>
      <c r="C10" s="9">
        <f xml:space="preserve"> $C$4 + $C$3 * SUM((D9/$M$7),(G9/$M$10),(H9/$M$11))</f>
        <v>0.20833333333333331</v>
      </c>
      <c r="D10" s="9">
        <f t="shared" ref="D10:D18" si="1" xml:space="preserve"> $C$4 + $C$3 * SUM((C9/$M$6))</f>
        <v>0.15277777777777776</v>
      </c>
      <c r="E10" s="9">
        <f t="shared" ref="E10:E18" si="2" xml:space="preserve"> $C$4 + $C$3 * SUM((D9/$M$7),(F9/$M$9))</f>
        <v>0.20138888888888887</v>
      </c>
      <c r="F10" s="9">
        <f t="shared" ref="F10:F18" si="3" xml:space="preserve"> $C$4 + $C$3 * SUM((D9/$M$7),(E9/$M$8))</f>
        <v>0.20138888888888887</v>
      </c>
      <c r="G10" s="9">
        <f t="shared" ref="G10:G18" si="4" xml:space="preserve"> $C$4</f>
        <v>8.3333333333333329E-2</v>
      </c>
      <c r="H10" s="9">
        <f t="shared" ref="H10:H18" si="5" xml:space="preserve"> $C$4 + $C$3 * SUM((C9/$M$6))</f>
        <v>0.15277777777777776</v>
      </c>
      <c r="K10" s="3" t="s">
        <v>5</v>
      </c>
      <c r="L10" s="3" t="s">
        <v>1</v>
      </c>
      <c r="M10" s="3">
        <v>1</v>
      </c>
    </row>
    <row r="11" spans="2:13" x14ac:dyDescent="0.25">
      <c r="B11" s="3">
        <v>3</v>
      </c>
      <c r="C11" s="3">
        <f t="shared" ref="C11:C17" si="6" xml:space="preserve"> $C$4 + $C$3 * SUM((D10/$M$7),(G10/$M$10),(H10/$M$11))</f>
        <v>0.2268518518518518</v>
      </c>
      <c r="D11" s="3">
        <f t="shared" si="1"/>
        <v>0.13541666666666666</v>
      </c>
      <c r="E11" s="3">
        <f t="shared" si="2"/>
        <v>0.2094907407407407</v>
      </c>
      <c r="F11" s="3">
        <f t="shared" si="3"/>
        <v>0.2094907407407407</v>
      </c>
      <c r="G11" s="3">
        <f t="shared" si="4"/>
        <v>8.3333333333333329E-2</v>
      </c>
      <c r="H11" s="3">
        <f t="shared" si="5"/>
        <v>0.13541666666666666</v>
      </c>
      <c r="K11" s="3" t="s">
        <v>6</v>
      </c>
      <c r="L11" s="3" t="s">
        <v>1</v>
      </c>
      <c r="M11" s="3">
        <v>1</v>
      </c>
    </row>
    <row r="12" spans="2:13" x14ac:dyDescent="0.25">
      <c r="B12" s="3">
        <v>4</v>
      </c>
      <c r="C12" s="3">
        <f t="shared" si="6"/>
        <v>0.21527777777777773</v>
      </c>
      <c r="D12" s="3">
        <f t="shared" si="1"/>
        <v>0.14004629629629628</v>
      </c>
      <c r="E12" s="3">
        <f t="shared" si="2"/>
        <v>0.21064814814814814</v>
      </c>
      <c r="F12" s="3">
        <f t="shared" si="3"/>
        <v>0.21064814814814814</v>
      </c>
      <c r="G12" s="3">
        <f t="shared" si="4"/>
        <v>8.3333333333333329E-2</v>
      </c>
      <c r="H12" s="3">
        <f t="shared" si="5"/>
        <v>0.14004629629629628</v>
      </c>
    </row>
    <row r="13" spans="2:13" x14ac:dyDescent="0.25">
      <c r="B13" s="9">
        <v>5</v>
      </c>
      <c r="C13" s="9">
        <f t="shared" si="6"/>
        <v>0.21836419753086417</v>
      </c>
      <c r="D13" s="9">
        <f t="shared" si="1"/>
        <v>0.13715277777777776</v>
      </c>
      <c r="E13" s="9">
        <f t="shared" si="2"/>
        <v>0.21199845679012347</v>
      </c>
      <c r="F13" s="9">
        <f t="shared" si="3"/>
        <v>0.21199845679012347</v>
      </c>
      <c r="G13" s="9">
        <f t="shared" si="4"/>
        <v>8.3333333333333329E-2</v>
      </c>
      <c r="H13" s="9">
        <f t="shared" si="5"/>
        <v>0.13715277777777776</v>
      </c>
      <c r="K13" s="28" t="s">
        <v>13</v>
      </c>
      <c r="L13" s="29"/>
      <c r="M13" s="30"/>
    </row>
    <row r="14" spans="2:13" x14ac:dyDescent="0.25">
      <c r="B14" s="3">
        <v>6</v>
      </c>
      <c r="C14" s="3">
        <f t="shared" si="6"/>
        <v>0.21643518518518517</v>
      </c>
      <c r="D14" s="3">
        <f t="shared" si="1"/>
        <v>0.13792438271604937</v>
      </c>
      <c r="E14" s="3">
        <f t="shared" si="2"/>
        <v>0.21219135802469136</v>
      </c>
      <c r="F14" s="3">
        <f t="shared" si="3"/>
        <v>0.21219135802469136</v>
      </c>
      <c r="G14" s="3">
        <f t="shared" si="4"/>
        <v>8.3333333333333329E-2</v>
      </c>
      <c r="H14" s="3">
        <f t="shared" si="5"/>
        <v>0.13792438271604937</v>
      </c>
      <c r="K14" s="1" t="s">
        <v>9</v>
      </c>
      <c r="L14" s="16" t="s">
        <v>14</v>
      </c>
      <c r="M14" s="18"/>
    </row>
    <row r="15" spans="2:13" x14ac:dyDescent="0.25">
      <c r="B15" s="3">
        <v>7</v>
      </c>
      <c r="C15" s="3">
        <f t="shared" si="6"/>
        <v>0.21694958847736623</v>
      </c>
      <c r="D15" s="3">
        <f t="shared" si="1"/>
        <v>0.13744212962962962</v>
      </c>
      <c r="E15" s="3">
        <f t="shared" si="2"/>
        <v>0.21241640946502055</v>
      </c>
      <c r="F15" s="3">
        <f t="shared" si="3"/>
        <v>0.21241640946502055</v>
      </c>
      <c r="G15" s="3">
        <f t="shared" si="4"/>
        <v>8.3333333333333329E-2</v>
      </c>
      <c r="H15" s="3">
        <f t="shared" si="5"/>
        <v>0.13744212962962962</v>
      </c>
      <c r="K15" s="3" t="s">
        <v>1</v>
      </c>
      <c r="L15" s="31" t="s">
        <v>15</v>
      </c>
      <c r="M15" s="32"/>
    </row>
    <row r="16" spans="2:13" x14ac:dyDescent="0.25">
      <c r="B16" s="3">
        <v>8</v>
      </c>
      <c r="C16" s="3">
        <f t="shared" si="6"/>
        <v>0.21662808641975306</v>
      </c>
      <c r="D16" s="3">
        <f t="shared" si="1"/>
        <v>0.13757073045267487</v>
      </c>
      <c r="E16" s="3">
        <f t="shared" si="2"/>
        <v>0.21244855967078186</v>
      </c>
      <c r="F16" s="3">
        <f t="shared" si="3"/>
        <v>0.21244855967078186</v>
      </c>
      <c r="G16" s="3">
        <f t="shared" si="4"/>
        <v>8.3333333333333329E-2</v>
      </c>
      <c r="H16" s="3">
        <f t="shared" si="5"/>
        <v>0.13757073045267487</v>
      </c>
      <c r="K16" s="3" t="s">
        <v>2</v>
      </c>
      <c r="L16" s="31" t="s">
        <v>1</v>
      </c>
      <c r="M16" s="32"/>
    </row>
    <row r="17" spans="2:13" x14ac:dyDescent="0.25">
      <c r="B17" s="3">
        <v>9</v>
      </c>
      <c r="C17" s="3">
        <f t="shared" si="6"/>
        <v>0.21671382030178321</v>
      </c>
      <c r="D17" s="3">
        <f t="shared" si="1"/>
        <v>0.13749035493827161</v>
      </c>
      <c r="E17" s="3">
        <f t="shared" si="2"/>
        <v>0.21248606824417005</v>
      </c>
      <c r="F17" s="3">
        <f t="shared" si="3"/>
        <v>0.21248606824417005</v>
      </c>
      <c r="G17" s="3">
        <f t="shared" si="4"/>
        <v>8.3333333333333329E-2</v>
      </c>
      <c r="H17" s="3">
        <f t="shared" si="5"/>
        <v>0.13749035493827161</v>
      </c>
      <c r="K17" s="3" t="s">
        <v>3</v>
      </c>
      <c r="L17" s="31" t="s">
        <v>16</v>
      </c>
      <c r="M17" s="32"/>
    </row>
    <row r="18" spans="2:13" x14ac:dyDescent="0.25">
      <c r="B18" s="9">
        <v>10</v>
      </c>
      <c r="C18" s="9">
        <f xml:space="preserve"> $C$4 + $C$3 * SUM((D17/$M$7),(G17/$M$10),(H17/$M$11))</f>
        <v>0.21666023662551437</v>
      </c>
      <c r="D18" s="9">
        <f t="shared" si="1"/>
        <v>0.13751178840877915</v>
      </c>
      <c r="E18" s="9">
        <f t="shared" si="2"/>
        <v>0.21249142661179693</v>
      </c>
      <c r="F18" s="9">
        <f t="shared" si="3"/>
        <v>0.21249142661179693</v>
      </c>
      <c r="G18" s="9">
        <f t="shared" si="4"/>
        <v>8.3333333333333329E-2</v>
      </c>
      <c r="H18" s="9">
        <f t="shared" si="5"/>
        <v>0.13751178840877915</v>
      </c>
      <c r="K18" s="3" t="s">
        <v>4</v>
      </c>
      <c r="L18" s="31" t="s">
        <v>17</v>
      </c>
      <c r="M18" s="32"/>
    </row>
    <row r="19" spans="2:13" x14ac:dyDescent="0.25">
      <c r="K19" s="3" t="s">
        <v>5</v>
      </c>
      <c r="L19" s="31" t="s">
        <v>18</v>
      </c>
      <c r="M19" s="32"/>
    </row>
    <row r="20" spans="2:13" x14ac:dyDescent="0.25">
      <c r="K20" s="3" t="s">
        <v>6</v>
      </c>
      <c r="L20" s="14" t="s">
        <v>1</v>
      </c>
      <c r="M20" s="14"/>
    </row>
    <row r="21" spans="2:13" x14ac:dyDescent="0.25">
      <c r="B21" s="1" t="s">
        <v>7</v>
      </c>
      <c r="C21" s="5">
        <v>6</v>
      </c>
      <c r="E21" s="13" t="s">
        <v>30</v>
      </c>
      <c r="F21" s="13"/>
      <c r="G21" s="13"/>
      <c r="H21" s="13"/>
    </row>
    <row r="22" spans="2:13" x14ac:dyDescent="0.25">
      <c r="B22" s="1" t="s">
        <v>8</v>
      </c>
      <c r="C22" s="6">
        <v>0.15</v>
      </c>
      <c r="E22" s="13"/>
      <c r="F22" s="13"/>
      <c r="G22" s="13"/>
      <c r="H22" s="13"/>
      <c r="K22" s="11" t="s">
        <v>26</v>
      </c>
      <c r="L22" s="11" t="s">
        <v>27</v>
      </c>
      <c r="M22" s="11" t="s">
        <v>28</v>
      </c>
    </row>
    <row r="23" spans="2:13" x14ac:dyDescent="0.25">
      <c r="B23" s="1" t="s">
        <v>19</v>
      </c>
      <c r="C23" s="6">
        <f>(1-$C$22)/$C$21</f>
        <v>0.14166666666666666</v>
      </c>
      <c r="E23" s="13"/>
      <c r="F23" s="13"/>
      <c r="G23" s="13"/>
      <c r="H23" s="13"/>
      <c r="K23" s="10">
        <v>1</v>
      </c>
      <c r="L23" s="1" t="s">
        <v>5</v>
      </c>
      <c r="M23" s="4">
        <v>4.9733999999999998</v>
      </c>
    </row>
    <row r="24" spans="2:13" x14ac:dyDescent="0.25">
      <c r="K24" s="10">
        <v>2</v>
      </c>
      <c r="L24" s="1" t="s">
        <v>3</v>
      </c>
      <c r="M24" s="4">
        <v>4.8173000000000004</v>
      </c>
    </row>
    <row r="25" spans="2:13" x14ac:dyDescent="0.25">
      <c r="K25" s="10">
        <v>3</v>
      </c>
      <c r="L25" s="1" t="s">
        <v>1</v>
      </c>
      <c r="M25" s="4">
        <v>2.5617000000000001</v>
      </c>
    </row>
    <row r="26" spans="2:13" x14ac:dyDescent="0.25"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  <c r="K26" s="10">
        <v>4</v>
      </c>
      <c r="L26" s="1" t="s">
        <v>2</v>
      </c>
      <c r="M26" s="4">
        <v>2.0110000000000001</v>
      </c>
    </row>
    <row r="27" spans="2:13" x14ac:dyDescent="0.25">
      <c r="B27" s="3">
        <v>0</v>
      </c>
      <c r="C27" s="3">
        <f>1/$C$21</f>
        <v>0.16666666666666666</v>
      </c>
      <c r="D27" s="3">
        <f t="shared" ref="D27:H27" si="7">1/$C$21</f>
        <v>0.16666666666666666</v>
      </c>
      <c r="E27" s="3">
        <f t="shared" si="7"/>
        <v>0.16666666666666666</v>
      </c>
      <c r="F27" s="3">
        <f t="shared" si="7"/>
        <v>0.16666666666666666</v>
      </c>
      <c r="G27" s="3">
        <f t="shared" si="7"/>
        <v>0.16666666666666666</v>
      </c>
      <c r="H27" s="3">
        <f t="shared" si="7"/>
        <v>0.16666666666666666</v>
      </c>
      <c r="K27" s="10">
        <v>5</v>
      </c>
      <c r="L27" s="1" t="s">
        <v>4</v>
      </c>
      <c r="M27" s="4">
        <v>0.89370000000000005</v>
      </c>
    </row>
    <row r="28" spans="2:13" x14ac:dyDescent="0.25">
      <c r="B28" s="3">
        <v>1</v>
      </c>
      <c r="C28" s="3">
        <f xml:space="preserve"> $C$23 + $C$22 * SUM((D27/$M$7),(G27/$M$10),(H27/$M$11))</f>
        <v>0.19999999999999998</v>
      </c>
      <c r="D28" s="3">
        <f xml:space="preserve"> $C$23 + $C$22 * SUM((C27/$M$6))</f>
        <v>0.15416666666666667</v>
      </c>
      <c r="E28" s="3">
        <f xml:space="preserve"> $C$23 + $C$22 * SUM((D27/$M$7),(F27/$M$9))</f>
        <v>0.17499999999999999</v>
      </c>
      <c r="F28" s="3">
        <f xml:space="preserve"> $C$23 + $C$22 * SUM((D27/$M$7),(E27/$M$8))</f>
        <v>0.17499999999999999</v>
      </c>
      <c r="G28" s="3">
        <f xml:space="preserve"> $C$23</f>
        <v>0.14166666666666666</v>
      </c>
      <c r="H28" s="3">
        <f xml:space="preserve"> $C$23 + $C$22 * SUM((C27/$M$6))</f>
        <v>0.15416666666666667</v>
      </c>
      <c r="K28" s="10">
        <v>6</v>
      </c>
      <c r="L28" s="1" t="s">
        <v>6</v>
      </c>
      <c r="M28" s="4">
        <v>0</v>
      </c>
    </row>
    <row r="29" spans="2:13" x14ac:dyDescent="0.25">
      <c r="B29" s="9">
        <v>2</v>
      </c>
      <c r="C29" s="9">
        <f t="shared" ref="C29:C37" si="8" xml:space="preserve"> $C$23 + $C$22 * SUM((D28/$M$7),(G28/$M$10),(H28/$M$11))</f>
        <v>0.19374999999999998</v>
      </c>
      <c r="D29" s="9">
        <f t="shared" ref="D29:D37" si="9" xml:space="preserve"> $C$23 + $C$22 * SUM((C28/$M$6))</f>
        <v>0.15666666666666665</v>
      </c>
      <c r="E29" s="9">
        <f t="shared" ref="E29:E37" si="10" xml:space="preserve"> $C$23 + $C$22 * SUM((D28/$M$7),(F28/$M$9))</f>
        <v>0.175625</v>
      </c>
      <c r="F29" s="9">
        <f t="shared" ref="F29:F37" si="11" xml:space="preserve"> $C$23 + $C$22 * SUM((D28/$M$7),(E28/$M$8))</f>
        <v>0.175625</v>
      </c>
      <c r="G29" s="9">
        <f t="shared" ref="G29:G37" si="12" xml:space="preserve"> $C$23</f>
        <v>0.14166666666666666</v>
      </c>
      <c r="H29" s="9">
        <f t="shared" ref="H29:I37" si="13" xml:space="preserve"> $C$23 + $C$22 * SUM((C28/$M$6))</f>
        <v>0.15666666666666665</v>
      </c>
    </row>
    <row r="30" spans="2:13" x14ac:dyDescent="0.25">
      <c r="B30" s="3">
        <v>3</v>
      </c>
      <c r="C30" s="3">
        <f t="shared" si="8"/>
        <v>0.19424999999999998</v>
      </c>
      <c r="D30" s="3">
        <f t="shared" si="9"/>
        <v>0.15619791666666666</v>
      </c>
      <c r="E30" s="3">
        <f t="shared" si="10"/>
        <v>0.17584374999999999</v>
      </c>
      <c r="F30" s="3">
        <f t="shared" si="11"/>
        <v>0.17584374999999999</v>
      </c>
      <c r="G30" s="3">
        <f t="shared" si="12"/>
        <v>0.14166666666666666</v>
      </c>
      <c r="H30" s="3">
        <f t="shared" si="13"/>
        <v>0.15619791666666666</v>
      </c>
    </row>
    <row r="31" spans="2:13" x14ac:dyDescent="0.25">
      <c r="B31" s="3">
        <v>4</v>
      </c>
      <c r="C31" s="3">
        <f t="shared" si="8"/>
        <v>0.19415624999999997</v>
      </c>
      <c r="D31" s="3">
        <f t="shared" si="9"/>
        <v>0.15623541666666665</v>
      </c>
      <c r="E31" s="3">
        <f t="shared" si="10"/>
        <v>0.175853125</v>
      </c>
      <c r="F31" s="3">
        <f t="shared" si="11"/>
        <v>0.175853125</v>
      </c>
      <c r="G31" s="3">
        <f t="shared" si="12"/>
        <v>0.14166666666666666</v>
      </c>
      <c r="H31" s="3">
        <f t="shared" si="13"/>
        <v>0.15623541666666665</v>
      </c>
    </row>
    <row r="32" spans="2:13" x14ac:dyDescent="0.25">
      <c r="B32" s="9">
        <v>5</v>
      </c>
      <c r="C32" s="9">
        <f t="shared" si="8"/>
        <v>0.19416375</v>
      </c>
      <c r="D32" s="9">
        <f t="shared" si="9"/>
        <v>0.15622838541666667</v>
      </c>
      <c r="E32" s="9">
        <f t="shared" si="10"/>
        <v>0.17585640624999999</v>
      </c>
      <c r="F32" s="9">
        <f t="shared" si="11"/>
        <v>0.17585640624999999</v>
      </c>
      <c r="G32" s="9">
        <f t="shared" si="12"/>
        <v>0.14166666666666666</v>
      </c>
      <c r="H32" s="9">
        <f t="shared" si="13"/>
        <v>0.15622838541666667</v>
      </c>
      <c r="I32" s="12"/>
    </row>
    <row r="33" spans="2:10" x14ac:dyDescent="0.25">
      <c r="B33" s="3">
        <v>6</v>
      </c>
      <c r="C33" s="3">
        <f t="shared" si="8"/>
        <v>0.19416234374999999</v>
      </c>
      <c r="D33" s="3">
        <f t="shared" si="9"/>
        <v>0.15622894791666667</v>
      </c>
      <c r="E33" s="3">
        <f t="shared" si="10"/>
        <v>0.17585654687499999</v>
      </c>
      <c r="F33" s="3">
        <f t="shared" si="11"/>
        <v>0.17585654687499999</v>
      </c>
      <c r="G33" s="3">
        <f t="shared" si="12"/>
        <v>0.14166666666666666</v>
      </c>
      <c r="H33" s="3">
        <f t="shared" si="13"/>
        <v>0.15622894791666667</v>
      </c>
      <c r="I33" s="12"/>
    </row>
    <row r="34" spans="2:10" x14ac:dyDescent="0.25">
      <c r="B34" s="3">
        <v>7</v>
      </c>
      <c r="C34" s="3">
        <f t="shared" si="8"/>
        <v>0.19416245625</v>
      </c>
      <c r="D34" s="3">
        <f t="shared" si="9"/>
        <v>0.15622884244791665</v>
      </c>
      <c r="E34" s="3">
        <f t="shared" si="10"/>
        <v>0.17585659609374998</v>
      </c>
      <c r="F34" s="3">
        <f t="shared" si="11"/>
        <v>0.17585659609374998</v>
      </c>
      <c r="G34" s="3">
        <f t="shared" si="12"/>
        <v>0.14166666666666666</v>
      </c>
      <c r="H34" s="3">
        <f t="shared" si="13"/>
        <v>0.15622884244791665</v>
      </c>
      <c r="I34" s="12"/>
    </row>
    <row r="35" spans="2:10" x14ac:dyDescent="0.25">
      <c r="B35" s="3">
        <v>8</v>
      </c>
      <c r="C35" s="3">
        <f t="shared" si="8"/>
        <v>0.19416243515624998</v>
      </c>
      <c r="D35" s="3">
        <f t="shared" si="9"/>
        <v>0.15622885088541666</v>
      </c>
      <c r="E35" s="3">
        <f t="shared" si="10"/>
        <v>0.17585659820312499</v>
      </c>
      <c r="F35" s="3">
        <f xml:space="preserve"> $C$23 + $C$22 * SUM((D34/$M$7),(E34/$M$8))</f>
        <v>0.17585659820312499</v>
      </c>
      <c r="G35" s="3">
        <f t="shared" si="12"/>
        <v>0.14166666666666666</v>
      </c>
      <c r="H35" s="3">
        <f t="shared" si="13"/>
        <v>0.15622885088541666</v>
      </c>
      <c r="I35" s="12"/>
    </row>
    <row r="36" spans="2:10" x14ac:dyDescent="0.25">
      <c r="B36" s="3">
        <v>9</v>
      </c>
      <c r="C36" s="3">
        <f t="shared" si="8"/>
        <v>0.19416243684375001</v>
      </c>
      <c r="D36" s="3">
        <f t="shared" si="9"/>
        <v>0.1562288493033854</v>
      </c>
      <c r="E36" s="3">
        <f t="shared" si="10"/>
        <v>0.17585659894140623</v>
      </c>
      <c r="F36" s="3">
        <f t="shared" si="11"/>
        <v>0.17585659894140623</v>
      </c>
      <c r="G36" s="3">
        <f t="shared" si="12"/>
        <v>0.14166666666666666</v>
      </c>
      <c r="H36" s="3">
        <f t="shared" si="13"/>
        <v>0.1562288493033854</v>
      </c>
      <c r="I36" s="12"/>
    </row>
    <row r="37" spans="2:10" x14ac:dyDescent="0.25">
      <c r="B37" s="9">
        <v>10</v>
      </c>
      <c r="C37" s="9">
        <f t="shared" si="8"/>
        <v>0.19416243652734375</v>
      </c>
      <c r="D37" s="9">
        <f t="shared" si="9"/>
        <v>0.15622884942994791</v>
      </c>
      <c r="E37" s="9">
        <f t="shared" si="10"/>
        <v>0.17585659897304687</v>
      </c>
      <c r="F37" s="9">
        <f t="shared" si="11"/>
        <v>0.17585659897304687</v>
      </c>
      <c r="G37" s="9">
        <f t="shared" si="12"/>
        <v>0.14166666666666666</v>
      </c>
      <c r="H37" s="9">
        <f t="shared" si="13"/>
        <v>0.15622884942994791</v>
      </c>
      <c r="I37" s="12"/>
    </row>
    <row r="39" spans="2:10" x14ac:dyDescent="0.25">
      <c r="B39" s="15" t="s">
        <v>22</v>
      </c>
      <c r="C39" s="15"/>
      <c r="D39" s="15"/>
      <c r="E39" s="15"/>
      <c r="F39" s="15"/>
      <c r="G39" s="15"/>
      <c r="H39" s="15"/>
    </row>
    <row r="40" spans="2:10" x14ac:dyDescent="0.25">
      <c r="B40" s="20" t="s">
        <v>23</v>
      </c>
      <c r="C40" s="21"/>
      <c r="D40" s="21"/>
      <c r="E40" s="21"/>
      <c r="F40" s="22"/>
      <c r="G40" s="26" t="s">
        <v>29</v>
      </c>
      <c r="H40" s="26">
        <v>0.2</v>
      </c>
    </row>
    <row r="41" spans="2:10" x14ac:dyDescent="0.25">
      <c r="B41" s="23"/>
      <c r="C41" s="24"/>
      <c r="D41" s="24"/>
      <c r="E41" s="24"/>
      <c r="F41" s="25"/>
      <c r="G41" s="27"/>
      <c r="H41" s="27"/>
      <c r="J41" t="s">
        <v>32</v>
      </c>
    </row>
    <row r="43" spans="2:10" x14ac:dyDescent="0.25">
      <c r="B43" s="16" t="s">
        <v>24</v>
      </c>
      <c r="C43" s="17"/>
      <c r="D43" s="18"/>
      <c r="F43" s="19" t="s">
        <v>25</v>
      </c>
      <c r="G43" s="19"/>
      <c r="H43" s="19"/>
    </row>
    <row r="44" spans="2:10" x14ac:dyDescent="0.25">
      <c r="B44" s="1" t="s">
        <v>26</v>
      </c>
      <c r="C44" s="1" t="s">
        <v>27</v>
      </c>
      <c r="D44" s="1" t="s">
        <v>28</v>
      </c>
      <c r="F44" s="1" t="s">
        <v>26</v>
      </c>
      <c r="G44" s="1" t="s">
        <v>27</v>
      </c>
      <c r="H44" s="1" t="s">
        <v>28</v>
      </c>
    </row>
    <row r="45" spans="2:10" x14ac:dyDescent="0.25">
      <c r="B45" s="1">
        <v>1</v>
      </c>
      <c r="C45" s="3" t="s">
        <v>3</v>
      </c>
      <c r="D45" s="3">
        <f>$H$40*$M$24 + (1-$H$40)*$E$18</f>
        <v>1.1334531412894377</v>
      </c>
      <c r="F45" s="1">
        <v>1</v>
      </c>
      <c r="G45" s="3" t="s">
        <v>5</v>
      </c>
      <c r="H45" s="3">
        <f>$H$40*$M$23 + (1-$H$40)*$G$37</f>
        <v>1.1080133333333333</v>
      </c>
    </row>
    <row r="46" spans="2:10" x14ac:dyDescent="0.25">
      <c r="B46" s="1">
        <v>2</v>
      </c>
      <c r="C46" s="3" t="s">
        <v>5</v>
      </c>
      <c r="D46" s="3">
        <f>$H$40*$M$23 + (1-$H$40)*$G$18</f>
        <v>1.0613466666666667</v>
      </c>
      <c r="F46" s="1">
        <v>2</v>
      </c>
      <c r="G46" s="3" t="s">
        <v>3</v>
      </c>
      <c r="H46" s="3">
        <f>$H$40*$M$24 + (1-$H$40)*$E$37</f>
        <v>1.1041452791784376</v>
      </c>
    </row>
    <row r="47" spans="2:10" x14ac:dyDescent="0.25">
      <c r="B47" s="1">
        <v>3</v>
      </c>
      <c r="C47" s="3" t="s">
        <v>1</v>
      </c>
      <c r="D47" s="3">
        <f>$H$40*$M$25 + (1-$H$40)*$C$18</f>
        <v>0.68566818930041151</v>
      </c>
      <c r="F47" s="1">
        <v>3</v>
      </c>
      <c r="G47" s="3" t="s">
        <v>1</v>
      </c>
      <c r="H47" s="3">
        <f>$H$40*$M$25 + (1-$H$40)*$C$37</f>
        <v>0.66766994922187506</v>
      </c>
    </row>
    <row r="48" spans="2:10" x14ac:dyDescent="0.25">
      <c r="B48" s="1">
        <v>4</v>
      </c>
      <c r="C48" s="3" t="s">
        <v>2</v>
      </c>
      <c r="D48" s="3">
        <f>$H$40*$M$26 + (1-$H$40)*$D$18</f>
        <v>0.51220943072702341</v>
      </c>
      <c r="F48" s="1">
        <v>4</v>
      </c>
      <c r="G48" s="3" t="s">
        <v>2</v>
      </c>
      <c r="H48" s="3">
        <f>$H$40*$M$26 + (1-$H$40)*$D$37</f>
        <v>0.52718307954395838</v>
      </c>
    </row>
    <row r="49" spans="2:8" x14ac:dyDescent="0.25">
      <c r="B49" s="1">
        <v>5</v>
      </c>
      <c r="C49" s="3" t="s">
        <v>4</v>
      </c>
      <c r="D49" s="3">
        <f>$H$40*$M$27 + (1-$H$40)*$F$18</f>
        <v>0.34873314128943755</v>
      </c>
      <c r="F49" s="1">
        <v>5</v>
      </c>
      <c r="G49" s="3" t="s">
        <v>4</v>
      </c>
      <c r="H49" s="3">
        <f>$H$40*$M$27 + (1-$H$40)*$F$37</f>
        <v>0.31942527917843755</v>
      </c>
    </row>
    <row r="50" spans="2:8" x14ac:dyDescent="0.25">
      <c r="B50" s="1">
        <v>6</v>
      </c>
      <c r="C50" s="3" t="s">
        <v>6</v>
      </c>
      <c r="D50" s="3">
        <f>$H$40*$M$28 + (1-$H$40)*$H$18</f>
        <v>0.11000943072702332</v>
      </c>
      <c r="F50" s="1">
        <v>6</v>
      </c>
      <c r="G50" s="3" t="s">
        <v>6</v>
      </c>
      <c r="H50" s="3">
        <f>$H$40*$M$28 + (1-$H$40)*$H$37</f>
        <v>0.12498307954395833</v>
      </c>
    </row>
    <row r="52" spans="2:8" x14ac:dyDescent="0.25">
      <c r="B52" s="20" t="s">
        <v>23</v>
      </c>
      <c r="C52" s="21"/>
      <c r="D52" s="21"/>
      <c r="E52" s="21"/>
      <c r="F52" s="22"/>
      <c r="G52" s="26" t="s">
        <v>29</v>
      </c>
      <c r="H52" s="26">
        <v>0.5</v>
      </c>
    </row>
    <row r="53" spans="2:8" x14ac:dyDescent="0.25">
      <c r="B53" s="23"/>
      <c r="C53" s="24"/>
      <c r="D53" s="24"/>
      <c r="E53" s="24"/>
      <c r="F53" s="25"/>
      <c r="G53" s="27"/>
      <c r="H53" s="27"/>
    </row>
    <row r="55" spans="2:8" x14ac:dyDescent="0.25">
      <c r="B55" s="16" t="s">
        <v>24</v>
      </c>
      <c r="C55" s="17"/>
      <c r="D55" s="18"/>
      <c r="F55" s="19" t="s">
        <v>25</v>
      </c>
      <c r="G55" s="19"/>
      <c r="H55" s="19"/>
    </row>
    <row r="56" spans="2:8" x14ac:dyDescent="0.25">
      <c r="B56" s="7" t="s">
        <v>26</v>
      </c>
      <c r="C56" s="7" t="s">
        <v>27</v>
      </c>
      <c r="D56" s="7" t="s">
        <v>28</v>
      </c>
      <c r="F56" s="7" t="s">
        <v>26</v>
      </c>
      <c r="G56" s="7" t="s">
        <v>27</v>
      </c>
      <c r="H56" s="7" t="s">
        <v>28</v>
      </c>
    </row>
    <row r="57" spans="2:8" x14ac:dyDescent="0.25">
      <c r="B57" s="7">
        <v>1</v>
      </c>
      <c r="C57" s="8" t="s">
        <v>5</v>
      </c>
      <c r="D57" s="8">
        <f>$H$52*$M$23 + (1-$H$52)*$G$18</f>
        <v>2.5283666666666664</v>
      </c>
      <c r="F57" s="7">
        <v>1</v>
      </c>
      <c r="G57" s="8" t="s">
        <v>5</v>
      </c>
      <c r="H57" s="8">
        <f>$H$52*$M$23 + (1-$H$52)*$G$37</f>
        <v>2.5575333333333332</v>
      </c>
    </row>
    <row r="58" spans="2:8" x14ac:dyDescent="0.25">
      <c r="B58" s="7">
        <v>2</v>
      </c>
      <c r="C58" s="8" t="s">
        <v>3</v>
      </c>
      <c r="D58" s="8">
        <f>$H$52*$M$24 + (1-$H$52)*$E$18</f>
        <v>2.5148957133058985</v>
      </c>
      <c r="F58" s="7">
        <v>2</v>
      </c>
      <c r="G58" s="8" t="s">
        <v>3</v>
      </c>
      <c r="H58" s="8">
        <f>$H$52*$M$24 + (1-$H$52)*$E$37</f>
        <v>2.4965782994865235</v>
      </c>
    </row>
    <row r="59" spans="2:8" x14ac:dyDescent="0.25">
      <c r="B59" s="7">
        <v>3</v>
      </c>
      <c r="C59" s="8" t="s">
        <v>1</v>
      </c>
      <c r="D59" s="8">
        <f>$H$52*$M$25 + (1-$H$52)*$C$18</f>
        <v>1.3891801183127572</v>
      </c>
      <c r="F59" s="7">
        <v>3</v>
      </c>
      <c r="G59" s="8" t="s">
        <v>1</v>
      </c>
      <c r="H59" s="8">
        <f>$H$52*$M$25 + (1-$H$52)*$C$37</f>
        <v>1.3779312182636718</v>
      </c>
    </row>
    <row r="60" spans="2:8" x14ac:dyDescent="0.25">
      <c r="B60" s="7">
        <v>4</v>
      </c>
      <c r="C60" s="8" t="s">
        <v>2</v>
      </c>
      <c r="D60" s="8">
        <f>$H$52*$M$26 + (1-$H$52)*$D$18</f>
        <v>1.0742558942043896</v>
      </c>
      <c r="F60" s="7">
        <v>4</v>
      </c>
      <c r="G60" s="8" t="s">
        <v>2</v>
      </c>
      <c r="H60" s="8">
        <f>$H$52*$M$26 + (1-$H$52)*$D$37</f>
        <v>1.0836144247149739</v>
      </c>
    </row>
    <row r="61" spans="2:8" x14ac:dyDescent="0.25">
      <c r="B61" s="7">
        <v>5</v>
      </c>
      <c r="C61" s="8" t="s">
        <v>4</v>
      </c>
      <c r="D61" s="8">
        <f>$H$52*$M$27 + (1-$H$52)*$F$18</f>
        <v>0.55309571330589846</v>
      </c>
      <c r="F61" s="7">
        <v>5</v>
      </c>
      <c r="G61" s="8" t="s">
        <v>4</v>
      </c>
      <c r="H61" s="8">
        <f>$H$52*$M$27 + (1-$H$52)*$F$37</f>
        <v>0.53477829948652345</v>
      </c>
    </row>
    <row r="62" spans="2:8" x14ac:dyDescent="0.25">
      <c r="B62" s="7">
        <v>6</v>
      </c>
      <c r="C62" s="8" t="s">
        <v>6</v>
      </c>
      <c r="D62" s="8">
        <f>$H$52*$M$28 + (1-$H$52)*$H$18</f>
        <v>6.8755894204389573E-2</v>
      </c>
      <c r="F62" s="7">
        <v>6</v>
      </c>
      <c r="G62" s="8" t="s">
        <v>6</v>
      </c>
      <c r="H62" s="8">
        <f>$H$52*$M$28 + (1-$H$52)*$H$37</f>
        <v>7.8114424714973957E-2</v>
      </c>
    </row>
    <row r="64" spans="2:8" x14ac:dyDescent="0.25">
      <c r="B64" s="20" t="s">
        <v>23</v>
      </c>
      <c r="C64" s="21"/>
      <c r="D64" s="21"/>
      <c r="E64" s="21"/>
      <c r="F64" s="22"/>
      <c r="G64" s="26" t="s">
        <v>29</v>
      </c>
      <c r="H64" s="26">
        <v>0.9</v>
      </c>
    </row>
    <row r="65" spans="2:8" x14ac:dyDescent="0.25">
      <c r="B65" s="23"/>
      <c r="C65" s="24"/>
      <c r="D65" s="24"/>
      <c r="E65" s="24"/>
      <c r="F65" s="25"/>
      <c r="G65" s="27"/>
      <c r="H65" s="27"/>
    </row>
    <row r="67" spans="2:8" x14ac:dyDescent="0.25">
      <c r="B67" s="16" t="s">
        <v>24</v>
      </c>
      <c r="C67" s="17"/>
      <c r="D67" s="18"/>
      <c r="F67" s="19" t="s">
        <v>25</v>
      </c>
      <c r="G67" s="19"/>
      <c r="H67" s="19"/>
    </row>
    <row r="68" spans="2:8" x14ac:dyDescent="0.25">
      <c r="B68" s="7" t="s">
        <v>26</v>
      </c>
      <c r="C68" s="7" t="s">
        <v>27</v>
      </c>
      <c r="D68" s="7" t="s">
        <v>28</v>
      </c>
      <c r="F68" s="7" t="s">
        <v>26</v>
      </c>
      <c r="G68" s="7" t="s">
        <v>27</v>
      </c>
      <c r="H68" s="7" t="s">
        <v>28</v>
      </c>
    </row>
    <row r="69" spans="2:8" x14ac:dyDescent="0.25">
      <c r="B69" s="7">
        <v>1</v>
      </c>
      <c r="C69" s="8" t="s">
        <v>5</v>
      </c>
      <c r="D69" s="8">
        <f>$H$64*$M$23 + (1-$H$64)*$G$18</f>
        <v>4.4843933333333341</v>
      </c>
      <c r="F69" s="7">
        <v>1</v>
      </c>
      <c r="G69" s="8" t="s">
        <v>5</v>
      </c>
      <c r="H69" s="8">
        <f>$H$64*$M$23 + (1-$H$64)*$G$37</f>
        <v>4.4902266666666675</v>
      </c>
    </row>
    <row r="70" spans="2:8" x14ac:dyDescent="0.25">
      <c r="B70" s="7">
        <v>2</v>
      </c>
      <c r="C70" s="8" t="s">
        <v>3</v>
      </c>
      <c r="D70" s="8">
        <f>$H$64*$M$24 + (1-$H$64)*$E$18</f>
        <v>4.3568191426611804</v>
      </c>
      <c r="F70" s="7">
        <v>2</v>
      </c>
      <c r="G70" s="8" t="s">
        <v>3</v>
      </c>
      <c r="H70" s="8">
        <f>$H$64*$M$24 + (1-$H$64)*$E$37</f>
        <v>4.3531556598973049</v>
      </c>
    </row>
    <row r="71" spans="2:8" x14ac:dyDescent="0.25">
      <c r="B71" s="7">
        <v>3</v>
      </c>
      <c r="C71" s="8" t="s">
        <v>1</v>
      </c>
      <c r="D71" s="8">
        <f>$H$64*$M$25 + (1-$H$64)*$C$18</f>
        <v>2.3271960236625513</v>
      </c>
      <c r="F71" s="7">
        <v>3</v>
      </c>
      <c r="G71" s="8" t="s">
        <v>1</v>
      </c>
      <c r="H71" s="8">
        <f>$H$64*$M$25 + (1-$H$64)*$C$37</f>
        <v>2.3249462436527346</v>
      </c>
    </row>
    <row r="72" spans="2:8" x14ac:dyDescent="0.25">
      <c r="B72" s="7">
        <v>4</v>
      </c>
      <c r="C72" s="8" t="s">
        <v>2</v>
      </c>
      <c r="D72" s="8">
        <f>$H$64*$M$26 + (1-$H$64)*$D$18</f>
        <v>1.823651178840878</v>
      </c>
      <c r="F72" s="7">
        <v>4</v>
      </c>
      <c r="G72" s="8" t="s">
        <v>2</v>
      </c>
      <c r="H72" s="8">
        <f>$H$64*$M$26 + (1-$H$64)*$D$37</f>
        <v>1.8255228849429948</v>
      </c>
    </row>
    <row r="73" spans="2:8" x14ac:dyDescent="0.25">
      <c r="B73" s="7">
        <v>5</v>
      </c>
      <c r="C73" s="8" t="s">
        <v>4</v>
      </c>
      <c r="D73" s="8">
        <f>$H$64*$M$27 + (1-$H$64)*$F$18</f>
        <v>0.82557914266117982</v>
      </c>
      <c r="F73" s="7">
        <v>5</v>
      </c>
      <c r="G73" s="8" t="s">
        <v>4</v>
      </c>
      <c r="H73" s="8">
        <f>$H$64*$M$27 + (1-$H$64)*$F$37</f>
        <v>0.82191565989730475</v>
      </c>
    </row>
    <row r="74" spans="2:8" x14ac:dyDescent="0.25">
      <c r="B74" s="7">
        <v>6</v>
      </c>
      <c r="C74" s="8" t="s">
        <v>6</v>
      </c>
      <c r="D74" s="8">
        <f>$H$64*$M$28 + (1-$H$64)*$H$18</f>
        <v>1.3751178840877912E-2</v>
      </c>
      <c r="F74" s="7">
        <v>6</v>
      </c>
      <c r="G74" s="8" t="s">
        <v>6</v>
      </c>
      <c r="H74" s="8">
        <f>$H$64*$M$28 + (1-$H$64)*$H$37</f>
        <v>1.5622884942994788E-2</v>
      </c>
    </row>
  </sheetData>
  <sortState xmlns:xlrd2="http://schemas.microsoft.com/office/spreadsheetml/2017/richdata2" ref="G45:H50">
    <sortCondition descending="1" ref="H45:H50"/>
  </sortState>
  <mergeCells count="27">
    <mergeCell ref="B64:F65"/>
    <mergeCell ref="G64:G65"/>
    <mergeCell ref="H64:H65"/>
    <mergeCell ref="B67:D67"/>
    <mergeCell ref="F67:H67"/>
    <mergeCell ref="L19:M19"/>
    <mergeCell ref="B52:F53"/>
    <mergeCell ref="G52:G53"/>
    <mergeCell ref="H52:H53"/>
    <mergeCell ref="B55:D55"/>
    <mergeCell ref="F55:H55"/>
    <mergeCell ref="E2:H4"/>
    <mergeCell ref="L20:M20"/>
    <mergeCell ref="B39:H39"/>
    <mergeCell ref="B43:D43"/>
    <mergeCell ref="F43:H43"/>
    <mergeCell ref="B40:F41"/>
    <mergeCell ref="G40:G41"/>
    <mergeCell ref="H40:H41"/>
    <mergeCell ref="E21:H23"/>
    <mergeCell ref="K4:M4"/>
    <mergeCell ref="K13:M13"/>
    <mergeCell ref="L14:M14"/>
    <mergeCell ref="L15:M15"/>
    <mergeCell ref="L16:M16"/>
    <mergeCell ref="L17:M17"/>
    <mergeCell ref="L18:M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Gatica</dc:creator>
  <cp:lastModifiedBy>Leonel Gatica</cp:lastModifiedBy>
  <dcterms:created xsi:type="dcterms:W3CDTF">2015-06-05T18:19:34Z</dcterms:created>
  <dcterms:modified xsi:type="dcterms:W3CDTF">2026-06-16T23:27:04Z</dcterms:modified>
</cp:coreProperties>
</file>